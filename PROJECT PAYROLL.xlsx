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6e9f843e659414/Desktop/"/>
    </mc:Choice>
  </mc:AlternateContent>
  <xr:revisionPtr revIDLastSave="73" documentId="8_{B00204BB-52A6-4AD6-BB54-CD14D0836DC3}" xr6:coauthVersionLast="47" xr6:coauthVersionMax="47" xr10:uidLastSave="{7B2E309E-98B7-4986-9A98-ACBD2A29066C}"/>
  <bookViews>
    <workbookView xWindow="-108" yWindow="-108" windowWidth="23256" windowHeight="13176" xr2:uid="{B99A8F60-816F-4709-9B11-ECCA3F3E453F}"/>
  </bookViews>
  <sheets>
    <sheet name="Sheet1" sheetId="1" r:id="rId1"/>
    <sheet name="Pay sli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I18" i="2"/>
  <c r="I17" i="2"/>
  <c r="I13" i="2"/>
  <c r="I12" i="2"/>
  <c r="I11" i="2"/>
  <c r="I10" i="2"/>
  <c r="I6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<sst xmlns="http://schemas.openxmlformats.org/spreadsheetml/2006/main" count="88" uniqueCount="86">
  <si>
    <t>HRA</t>
  </si>
  <si>
    <t>PF</t>
  </si>
  <si>
    <t>TDS</t>
  </si>
  <si>
    <t>Arun</t>
  </si>
  <si>
    <t>Rahul</t>
  </si>
  <si>
    <t>Neha</t>
  </si>
  <si>
    <t>E001</t>
  </si>
  <si>
    <t>E002</t>
  </si>
  <si>
    <t>E003</t>
  </si>
  <si>
    <t>E004</t>
  </si>
  <si>
    <t>Priya</t>
  </si>
  <si>
    <t>E005</t>
  </si>
  <si>
    <t>Kiran</t>
  </si>
  <si>
    <t>E006</t>
  </si>
  <si>
    <t>Anjali</t>
  </si>
  <si>
    <t>E007</t>
  </si>
  <si>
    <t>Rohan</t>
  </si>
  <si>
    <t>E008</t>
  </si>
  <si>
    <t>Sneha</t>
  </si>
  <si>
    <t>E009</t>
  </si>
  <si>
    <t>Vikram</t>
  </si>
  <si>
    <t>E010</t>
  </si>
  <si>
    <t>Meera</t>
  </si>
  <si>
    <t>E011</t>
  </si>
  <si>
    <t>Ajay</t>
  </si>
  <si>
    <t>E012</t>
  </si>
  <si>
    <t>Pooja</t>
  </si>
  <si>
    <t>E013</t>
  </si>
  <si>
    <t>Aman</t>
  </si>
  <si>
    <t>E014</t>
  </si>
  <si>
    <t>Kavya</t>
  </si>
  <si>
    <t>E015</t>
  </si>
  <si>
    <t>Deepak</t>
  </si>
  <si>
    <t>E016</t>
  </si>
  <si>
    <t>Nisha</t>
  </si>
  <si>
    <t>E017</t>
  </si>
  <si>
    <t>Rohit</t>
  </si>
  <si>
    <t>E018</t>
  </si>
  <si>
    <t>Divya</t>
  </si>
  <si>
    <t>E019</t>
  </si>
  <si>
    <t>Suresh</t>
  </si>
  <si>
    <t>E020</t>
  </si>
  <si>
    <t>Asha</t>
  </si>
  <si>
    <t>E021</t>
  </si>
  <si>
    <t>Naveen</t>
  </si>
  <si>
    <t>E022</t>
  </si>
  <si>
    <t>Rekha</t>
  </si>
  <si>
    <t>E023</t>
  </si>
  <si>
    <t>Imran</t>
  </si>
  <si>
    <t>E024</t>
  </si>
  <si>
    <t>Sonia</t>
  </si>
  <si>
    <t>E025</t>
  </si>
  <si>
    <t>Tarun</t>
  </si>
  <si>
    <t>E026</t>
  </si>
  <si>
    <t>Shreya</t>
  </si>
  <si>
    <t>E027</t>
  </si>
  <si>
    <t>Manish</t>
  </si>
  <si>
    <t>E028</t>
  </si>
  <si>
    <t>Ritu</t>
  </si>
  <si>
    <t>E029</t>
  </si>
  <si>
    <t>Karthik</t>
  </si>
  <si>
    <t>E030</t>
  </si>
  <si>
    <t>Preeti</t>
  </si>
  <si>
    <t>EMP ID</t>
  </si>
  <si>
    <t>NAME</t>
  </si>
  <si>
    <t>BASIC</t>
  </si>
  <si>
    <t>ALLOWANCE</t>
  </si>
  <si>
    <t>DAYS WORKED</t>
  </si>
  <si>
    <t xml:space="preserve">TOTAL DAYS </t>
  </si>
  <si>
    <t>GROSS SALARY</t>
  </si>
  <si>
    <t>ADJUSTED SALARY</t>
  </si>
  <si>
    <t>NET SALARY</t>
  </si>
  <si>
    <t>ERROR CHECK</t>
  </si>
  <si>
    <t xml:space="preserve">                EMPLOYEE PAYSLIP</t>
  </si>
  <si>
    <t xml:space="preserve">Employee ID:  </t>
  </si>
  <si>
    <t xml:space="preserve">Name:  </t>
  </si>
  <si>
    <t>---------------------------------</t>
  </si>
  <si>
    <t>EARNINGS</t>
  </si>
  <si>
    <t>Basic Salary:</t>
  </si>
  <si>
    <t>HRA:</t>
  </si>
  <si>
    <t>Allowance:</t>
  </si>
  <si>
    <t>Gross Salary:</t>
  </si>
  <si>
    <t>DEDUCTIONS</t>
  </si>
  <si>
    <t>PF:</t>
  </si>
  <si>
    <t>TDS:</t>
  </si>
  <si>
    <t>Net Salary: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</si>
</sst>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₹&quot;\ #,##0;&quot;₹&quot;\ \-#,##0"/>
    <numFmt numFmtId="164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right"/>
    </xf>
    <xf numFmtId="0" fontId="1" fillId="0" borderId="1" xfId="0" applyFont="1" applyBorder="1"/>
    <xf numFmtId="0" fontId="0" fillId="0" borderId="2" xfId="0" applyBorder="1"/>
    <xf numFmtId="5" fontId="0" fillId="0" borderId="0" xfId="0" applyNumberFormat="1"/>
    <xf numFmtId="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0FD3-72CB-4035-BC37-4709B3EBC3CE}">
  <dimension ref="A1:M31"/>
  <sheetViews>
    <sheetView tabSelected="1" zoomScale="124" zoomScaleNormal="124" workbookViewId="0"/>
  </sheetViews>
  <sheetFormatPr defaultRowHeight="14.4" x14ac:dyDescent="0.3"/>
  <cols>
    <col min="4" max="4" width="9.33203125" bestFit="1" customWidth="1"/>
    <col min="5" max="5" width="11.44140625" bestFit="1" customWidth="1"/>
    <col min="6" max="6" width="13.33203125" bestFit="1" customWidth="1"/>
    <col min="7" max="7" width="11.21875" bestFit="1" customWidth="1"/>
    <col min="8" max="8" width="13.77734375" bestFit="1" customWidth="1"/>
    <col min="9" max="9" width="16.21875" bestFit="1" customWidth="1"/>
    <col min="11" max="11" width="9.109375" bestFit="1" customWidth="1"/>
    <col min="12" max="12" width="12" bestFit="1" customWidth="1"/>
    <col min="13" max="13" width="12.88671875" bestFit="1" customWidth="1"/>
  </cols>
  <sheetData>
    <row r="1" spans="1:13" x14ac:dyDescent="0.3">
      <c r="A1" s="1" t="s">
        <v>63</v>
      </c>
      <c r="B1" s="1" t="s">
        <v>64</v>
      </c>
      <c r="C1" s="1" t="s">
        <v>65</v>
      </c>
      <c r="D1" s="1" t="s">
        <v>0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</v>
      </c>
      <c r="K1" s="1" t="s">
        <v>2</v>
      </c>
      <c r="L1" s="1" t="s">
        <v>71</v>
      </c>
      <c r="M1" s="1" t="s">
        <v>72</v>
      </c>
    </row>
    <row r="2" spans="1:13" x14ac:dyDescent="0.3">
      <c r="A2" s="2" t="s">
        <v>6</v>
      </c>
      <c r="B2" s="2" t="s">
        <v>3</v>
      </c>
      <c r="C2" s="2">
        <v>15000</v>
      </c>
      <c r="D2" s="2">
        <v>7000</v>
      </c>
      <c r="E2" s="2">
        <v>8000</v>
      </c>
      <c r="F2" s="2">
        <v>30</v>
      </c>
      <c r="G2" s="2">
        <v>30</v>
      </c>
      <c r="H2" s="2">
        <f>C2+D2+E2</f>
        <v>30000</v>
      </c>
      <c r="I2" s="3">
        <f>H2/G2*F2</f>
        <v>30000</v>
      </c>
      <c r="J2" s="2">
        <f>C2*12%</f>
        <v>1800</v>
      </c>
      <c r="K2" s="2">
        <f>IF(I2&gt;30000,10%*I2,5%*I2)</f>
        <v>1500</v>
      </c>
      <c r="L2" s="3">
        <f>I2-J2-K2</f>
        <v>26700</v>
      </c>
      <c r="M2" s="2" t="str">
        <f>IF(F2&gt;G2,"ERROR","OK")</f>
        <v>OK</v>
      </c>
    </row>
    <row r="3" spans="1:13" x14ac:dyDescent="0.3">
      <c r="A3" s="2" t="s">
        <v>7</v>
      </c>
      <c r="B3" s="2" t="s">
        <v>4</v>
      </c>
      <c r="C3" s="2">
        <v>18000</v>
      </c>
      <c r="D3" s="2">
        <v>8000</v>
      </c>
      <c r="E3" s="2">
        <v>9000</v>
      </c>
      <c r="F3" s="2">
        <v>26</v>
      </c>
      <c r="G3" s="2">
        <v>30</v>
      </c>
      <c r="H3" s="2">
        <f t="shared" ref="H3:H31" si="0">C3+D3+E3</f>
        <v>35000</v>
      </c>
      <c r="I3" s="3">
        <f t="shared" ref="I3:I31" si="1">H3/G3*F3</f>
        <v>30333.333333333336</v>
      </c>
      <c r="J3" s="2">
        <f t="shared" ref="J3:J31" si="2">C3*12%</f>
        <v>2160</v>
      </c>
      <c r="K3" s="2">
        <f t="shared" ref="K3:K31" si="3">IF(I3&gt;30000,10%*I3,5%*I3)</f>
        <v>3033.3333333333339</v>
      </c>
      <c r="L3" s="3">
        <f t="shared" ref="L3:L31" si="4">I3-J3-K3</f>
        <v>25140</v>
      </c>
      <c r="M3" s="2" t="str">
        <f t="shared" ref="M3:M31" si="5">IF(F3&gt;G3,"ERROR","OK")</f>
        <v>OK</v>
      </c>
    </row>
    <row r="4" spans="1:13" x14ac:dyDescent="0.3">
      <c r="A4" s="2" t="s">
        <v>8</v>
      </c>
      <c r="B4" s="2" t="s">
        <v>5</v>
      </c>
      <c r="C4" s="2">
        <v>20000</v>
      </c>
      <c r="D4" s="2">
        <v>9000</v>
      </c>
      <c r="E4" s="2">
        <v>10000</v>
      </c>
      <c r="F4" s="2">
        <v>25</v>
      </c>
      <c r="G4" s="2">
        <v>30</v>
      </c>
      <c r="H4" s="2">
        <f t="shared" si="0"/>
        <v>39000</v>
      </c>
      <c r="I4" s="3">
        <f t="shared" si="1"/>
        <v>32500</v>
      </c>
      <c r="J4" s="2">
        <f t="shared" si="2"/>
        <v>2400</v>
      </c>
      <c r="K4" s="2">
        <f t="shared" si="3"/>
        <v>3250</v>
      </c>
      <c r="L4" s="3">
        <f t="shared" si="4"/>
        <v>26850</v>
      </c>
      <c r="M4" s="2" t="str">
        <f t="shared" si="5"/>
        <v>OK</v>
      </c>
    </row>
    <row r="5" spans="1:13" x14ac:dyDescent="0.3">
      <c r="A5" s="2" t="s">
        <v>9</v>
      </c>
      <c r="B5" s="2" t="s">
        <v>10</v>
      </c>
      <c r="C5" s="2">
        <v>22000</v>
      </c>
      <c r="D5" s="2">
        <v>10000</v>
      </c>
      <c r="E5" s="2">
        <v>11000</v>
      </c>
      <c r="F5" s="2">
        <v>28</v>
      </c>
      <c r="G5" s="2">
        <v>30</v>
      </c>
      <c r="H5" s="2">
        <f t="shared" si="0"/>
        <v>43000</v>
      </c>
      <c r="I5" s="3">
        <f t="shared" si="1"/>
        <v>40133.333333333328</v>
      </c>
      <c r="J5" s="2">
        <f t="shared" si="2"/>
        <v>2640</v>
      </c>
      <c r="K5" s="2">
        <f t="shared" si="3"/>
        <v>4013.333333333333</v>
      </c>
      <c r="L5" s="3">
        <f t="shared" si="4"/>
        <v>33479.999999999993</v>
      </c>
      <c r="M5" s="2" t="str">
        <f t="shared" si="5"/>
        <v>OK</v>
      </c>
    </row>
    <row r="6" spans="1:13" x14ac:dyDescent="0.3">
      <c r="A6" s="2" t="s">
        <v>11</v>
      </c>
      <c r="B6" s="2" t="s">
        <v>12</v>
      </c>
      <c r="C6" s="2">
        <v>14000</v>
      </c>
      <c r="D6" s="2">
        <v>6000</v>
      </c>
      <c r="E6" s="2">
        <v>7000</v>
      </c>
      <c r="F6" s="2">
        <v>27</v>
      </c>
      <c r="G6" s="2">
        <v>30</v>
      </c>
      <c r="H6" s="2">
        <f t="shared" si="0"/>
        <v>27000</v>
      </c>
      <c r="I6" s="3">
        <f t="shared" si="1"/>
        <v>24300</v>
      </c>
      <c r="J6" s="2">
        <f t="shared" si="2"/>
        <v>1680</v>
      </c>
      <c r="K6" s="2">
        <f t="shared" si="3"/>
        <v>1215</v>
      </c>
      <c r="L6" s="3">
        <f t="shared" si="4"/>
        <v>21405</v>
      </c>
      <c r="M6" s="2" t="str">
        <f t="shared" si="5"/>
        <v>OK</v>
      </c>
    </row>
    <row r="7" spans="1:13" x14ac:dyDescent="0.3">
      <c r="A7" s="2" t="s">
        <v>13</v>
      </c>
      <c r="B7" s="2" t="s">
        <v>14</v>
      </c>
      <c r="C7" s="2">
        <v>25000</v>
      </c>
      <c r="D7" s="2">
        <v>12000</v>
      </c>
      <c r="E7" s="2">
        <v>13000</v>
      </c>
      <c r="F7" s="2">
        <v>30</v>
      </c>
      <c r="G7" s="2">
        <v>30</v>
      </c>
      <c r="H7" s="2">
        <f t="shared" si="0"/>
        <v>50000</v>
      </c>
      <c r="I7" s="3">
        <f t="shared" si="1"/>
        <v>50000</v>
      </c>
      <c r="J7" s="2">
        <f t="shared" si="2"/>
        <v>3000</v>
      </c>
      <c r="K7" s="2">
        <f t="shared" si="3"/>
        <v>5000</v>
      </c>
      <c r="L7" s="3">
        <f t="shared" si="4"/>
        <v>42000</v>
      </c>
      <c r="M7" s="2" t="str">
        <f t="shared" si="5"/>
        <v>OK</v>
      </c>
    </row>
    <row r="8" spans="1:13" x14ac:dyDescent="0.3">
      <c r="A8" s="2" t="s">
        <v>15</v>
      </c>
      <c r="B8" s="2" t="s">
        <v>16</v>
      </c>
      <c r="C8" s="2">
        <v>17000</v>
      </c>
      <c r="D8" s="2">
        <v>7500</v>
      </c>
      <c r="E8" s="2">
        <v>8500</v>
      </c>
      <c r="F8" s="2">
        <v>24</v>
      </c>
      <c r="G8" s="2">
        <v>30</v>
      </c>
      <c r="H8" s="2">
        <f t="shared" si="0"/>
        <v>33000</v>
      </c>
      <c r="I8" s="3">
        <f t="shared" si="1"/>
        <v>26400</v>
      </c>
      <c r="J8" s="2">
        <f t="shared" si="2"/>
        <v>2040</v>
      </c>
      <c r="K8" s="2">
        <f t="shared" si="3"/>
        <v>1320</v>
      </c>
      <c r="L8" s="3">
        <f t="shared" si="4"/>
        <v>23040</v>
      </c>
      <c r="M8" s="2" t="str">
        <f t="shared" si="5"/>
        <v>OK</v>
      </c>
    </row>
    <row r="9" spans="1:13" x14ac:dyDescent="0.3">
      <c r="A9" s="2" t="s">
        <v>17</v>
      </c>
      <c r="B9" s="2" t="s">
        <v>18</v>
      </c>
      <c r="C9" s="2">
        <v>21000</v>
      </c>
      <c r="D9" s="2">
        <v>9500</v>
      </c>
      <c r="E9" s="2">
        <v>10500</v>
      </c>
      <c r="F9" s="2">
        <v>29</v>
      </c>
      <c r="G9" s="2">
        <v>30</v>
      </c>
      <c r="H9" s="2">
        <f t="shared" si="0"/>
        <v>41000</v>
      </c>
      <c r="I9" s="3">
        <f t="shared" si="1"/>
        <v>39633.333333333336</v>
      </c>
      <c r="J9" s="2">
        <f t="shared" si="2"/>
        <v>2520</v>
      </c>
      <c r="K9" s="2">
        <f t="shared" si="3"/>
        <v>3963.3333333333339</v>
      </c>
      <c r="L9" s="3">
        <f t="shared" si="4"/>
        <v>33150</v>
      </c>
      <c r="M9" s="2" t="str">
        <f t="shared" si="5"/>
        <v>OK</v>
      </c>
    </row>
    <row r="10" spans="1:13" x14ac:dyDescent="0.3">
      <c r="A10" s="2" t="s">
        <v>19</v>
      </c>
      <c r="B10" s="2" t="s">
        <v>20</v>
      </c>
      <c r="C10" s="2">
        <v>16000</v>
      </c>
      <c r="D10" s="2">
        <v>7000</v>
      </c>
      <c r="E10" s="2">
        <v>8000</v>
      </c>
      <c r="F10" s="2">
        <v>28</v>
      </c>
      <c r="G10" s="2">
        <v>30</v>
      </c>
      <c r="H10" s="2">
        <f t="shared" si="0"/>
        <v>31000</v>
      </c>
      <c r="I10" s="3">
        <f t="shared" si="1"/>
        <v>28933.333333333332</v>
      </c>
      <c r="J10" s="2">
        <f t="shared" si="2"/>
        <v>1920</v>
      </c>
      <c r="K10" s="2">
        <f t="shared" si="3"/>
        <v>1446.6666666666667</v>
      </c>
      <c r="L10" s="3">
        <f t="shared" si="4"/>
        <v>25566.666666666664</v>
      </c>
      <c r="M10" s="2" t="str">
        <f t="shared" si="5"/>
        <v>OK</v>
      </c>
    </row>
    <row r="11" spans="1:13" x14ac:dyDescent="0.3">
      <c r="A11" s="2" t="s">
        <v>21</v>
      </c>
      <c r="B11" s="2" t="s">
        <v>22</v>
      </c>
      <c r="C11" s="2">
        <v>19000</v>
      </c>
      <c r="D11" s="2">
        <v>8500</v>
      </c>
      <c r="E11" s="2">
        <v>9500</v>
      </c>
      <c r="F11" s="2">
        <v>26</v>
      </c>
      <c r="G11" s="2">
        <v>30</v>
      </c>
      <c r="H11" s="2">
        <f t="shared" si="0"/>
        <v>37000</v>
      </c>
      <c r="I11" s="3">
        <f t="shared" si="1"/>
        <v>32066.666666666664</v>
      </c>
      <c r="J11" s="2">
        <f t="shared" si="2"/>
        <v>2280</v>
      </c>
      <c r="K11" s="2">
        <f t="shared" si="3"/>
        <v>3206.6666666666665</v>
      </c>
      <c r="L11" s="3">
        <f t="shared" si="4"/>
        <v>26579.999999999996</v>
      </c>
      <c r="M11" s="2" t="str">
        <f t="shared" si="5"/>
        <v>OK</v>
      </c>
    </row>
    <row r="12" spans="1:13" x14ac:dyDescent="0.3">
      <c r="A12" s="2" t="s">
        <v>23</v>
      </c>
      <c r="B12" s="2" t="s">
        <v>24</v>
      </c>
      <c r="C12" s="2">
        <v>23000</v>
      </c>
      <c r="D12" s="2">
        <v>10500</v>
      </c>
      <c r="E12" s="2">
        <v>11500</v>
      </c>
      <c r="F12" s="2">
        <v>30</v>
      </c>
      <c r="G12" s="2">
        <v>30</v>
      </c>
      <c r="H12" s="2">
        <f t="shared" si="0"/>
        <v>45000</v>
      </c>
      <c r="I12" s="3">
        <f t="shared" si="1"/>
        <v>45000</v>
      </c>
      <c r="J12" s="2">
        <f t="shared" si="2"/>
        <v>2760</v>
      </c>
      <c r="K12" s="2">
        <f t="shared" si="3"/>
        <v>4500</v>
      </c>
      <c r="L12" s="3">
        <f t="shared" si="4"/>
        <v>37740</v>
      </c>
      <c r="M12" s="2" t="str">
        <f t="shared" si="5"/>
        <v>OK</v>
      </c>
    </row>
    <row r="13" spans="1:13" x14ac:dyDescent="0.3">
      <c r="A13" s="2" t="s">
        <v>25</v>
      </c>
      <c r="B13" s="2" t="s">
        <v>26</v>
      </c>
      <c r="C13" s="2">
        <v>17500</v>
      </c>
      <c r="D13" s="2">
        <v>8000</v>
      </c>
      <c r="E13" s="2">
        <v>9000</v>
      </c>
      <c r="F13" s="2">
        <v>27</v>
      </c>
      <c r="G13" s="2">
        <v>30</v>
      </c>
      <c r="H13" s="2">
        <f t="shared" si="0"/>
        <v>34500</v>
      </c>
      <c r="I13" s="3">
        <f t="shared" si="1"/>
        <v>31050</v>
      </c>
      <c r="J13" s="2">
        <f t="shared" si="2"/>
        <v>2100</v>
      </c>
      <c r="K13" s="2">
        <f t="shared" si="3"/>
        <v>3105</v>
      </c>
      <c r="L13" s="3">
        <f t="shared" si="4"/>
        <v>25845</v>
      </c>
      <c r="M13" s="2" t="str">
        <f t="shared" si="5"/>
        <v>OK</v>
      </c>
    </row>
    <row r="14" spans="1:13" x14ac:dyDescent="0.3">
      <c r="A14" s="2" t="s">
        <v>27</v>
      </c>
      <c r="B14" s="2" t="s">
        <v>28</v>
      </c>
      <c r="C14" s="2">
        <v>15500</v>
      </c>
      <c r="D14" s="2">
        <v>7200</v>
      </c>
      <c r="E14" s="2">
        <v>8200</v>
      </c>
      <c r="F14" s="2">
        <v>25</v>
      </c>
      <c r="G14" s="2">
        <v>30</v>
      </c>
      <c r="H14" s="2">
        <f t="shared" si="0"/>
        <v>30900</v>
      </c>
      <c r="I14" s="3">
        <f t="shared" si="1"/>
        <v>25750</v>
      </c>
      <c r="J14" s="2">
        <f t="shared" si="2"/>
        <v>1860</v>
      </c>
      <c r="K14" s="2">
        <f t="shared" si="3"/>
        <v>1287.5</v>
      </c>
      <c r="L14" s="3">
        <f t="shared" si="4"/>
        <v>22602.5</v>
      </c>
      <c r="M14" s="2" t="str">
        <f t="shared" si="5"/>
        <v>OK</v>
      </c>
    </row>
    <row r="15" spans="1:13" x14ac:dyDescent="0.3">
      <c r="A15" s="2" t="s">
        <v>29</v>
      </c>
      <c r="B15" s="2" t="s">
        <v>30</v>
      </c>
      <c r="C15" s="2">
        <v>24000</v>
      </c>
      <c r="D15" s="2">
        <v>11000</v>
      </c>
      <c r="E15" s="2">
        <v>12000</v>
      </c>
      <c r="F15" s="2">
        <v>30</v>
      </c>
      <c r="G15" s="2">
        <v>30</v>
      </c>
      <c r="H15" s="2">
        <f t="shared" si="0"/>
        <v>47000</v>
      </c>
      <c r="I15" s="3">
        <f t="shared" si="1"/>
        <v>47000</v>
      </c>
      <c r="J15" s="2">
        <f t="shared" si="2"/>
        <v>2880</v>
      </c>
      <c r="K15" s="2">
        <f t="shared" si="3"/>
        <v>4700</v>
      </c>
      <c r="L15" s="3">
        <f t="shared" si="4"/>
        <v>39420</v>
      </c>
      <c r="M15" s="2" t="str">
        <f t="shared" si="5"/>
        <v>OK</v>
      </c>
    </row>
    <row r="16" spans="1:13" x14ac:dyDescent="0.3">
      <c r="A16" s="2" t="s">
        <v>31</v>
      </c>
      <c r="B16" s="2" t="s">
        <v>32</v>
      </c>
      <c r="C16" s="2">
        <v>16500</v>
      </c>
      <c r="D16" s="2">
        <v>7500</v>
      </c>
      <c r="E16" s="2">
        <v>8500</v>
      </c>
      <c r="F16" s="2">
        <v>23</v>
      </c>
      <c r="G16" s="2">
        <v>30</v>
      </c>
      <c r="H16" s="2">
        <f t="shared" si="0"/>
        <v>32500</v>
      </c>
      <c r="I16" s="3">
        <f t="shared" si="1"/>
        <v>24916.666666666664</v>
      </c>
      <c r="J16" s="2">
        <f t="shared" si="2"/>
        <v>1980</v>
      </c>
      <c r="K16" s="2">
        <f t="shared" si="3"/>
        <v>1245.8333333333333</v>
      </c>
      <c r="L16" s="3">
        <f t="shared" si="4"/>
        <v>21690.833333333332</v>
      </c>
      <c r="M16" s="2" t="str">
        <f t="shared" si="5"/>
        <v>OK</v>
      </c>
    </row>
    <row r="17" spans="1:13" x14ac:dyDescent="0.3">
      <c r="A17" s="2" t="s">
        <v>33</v>
      </c>
      <c r="B17" s="2" t="s">
        <v>34</v>
      </c>
      <c r="C17" s="2">
        <v>20500</v>
      </c>
      <c r="D17" s="2">
        <v>9200</v>
      </c>
      <c r="E17" s="2">
        <v>10200</v>
      </c>
      <c r="F17" s="2">
        <v>28</v>
      </c>
      <c r="G17" s="2">
        <v>30</v>
      </c>
      <c r="H17" s="2">
        <f t="shared" si="0"/>
        <v>39900</v>
      </c>
      <c r="I17" s="3">
        <f t="shared" si="1"/>
        <v>37240</v>
      </c>
      <c r="J17" s="2">
        <f t="shared" si="2"/>
        <v>2460</v>
      </c>
      <c r="K17" s="2">
        <f t="shared" si="3"/>
        <v>3724</v>
      </c>
      <c r="L17" s="3">
        <f t="shared" si="4"/>
        <v>31056</v>
      </c>
      <c r="M17" s="2" t="str">
        <f t="shared" si="5"/>
        <v>OK</v>
      </c>
    </row>
    <row r="18" spans="1:13" x14ac:dyDescent="0.3">
      <c r="A18" s="2" t="s">
        <v>35</v>
      </c>
      <c r="B18" s="2" t="s">
        <v>36</v>
      </c>
      <c r="C18" s="2">
        <v>18000</v>
      </c>
      <c r="D18" s="2">
        <v>8200</v>
      </c>
      <c r="E18" s="2">
        <v>9200</v>
      </c>
      <c r="F18" s="2">
        <v>26</v>
      </c>
      <c r="G18" s="2">
        <v>30</v>
      </c>
      <c r="H18" s="2">
        <f t="shared" si="0"/>
        <v>35400</v>
      </c>
      <c r="I18" s="3">
        <f t="shared" si="1"/>
        <v>30680</v>
      </c>
      <c r="J18" s="2">
        <f t="shared" si="2"/>
        <v>2160</v>
      </c>
      <c r="K18" s="2">
        <f t="shared" si="3"/>
        <v>3068</v>
      </c>
      <c r="L18" s="3">
        <f t="shared" si="4"/>
        <v>25452</v>
      </c>
      <c r="M18" s="2" t="str">
        <f t="shared" si="5"/>
        <v>OK</v>
      </c>
    </row>
    <row r="19" spans="1:13" x14ac:dyDescent="0.3">
      <c r="A19" s="2" t="s">
        <v>37</v>
      </c>
      <c r="B19" s="2" t="s">
        <v>38</v>
      </c>
      <c r="C19" s="2">
        <v>21500</v>
      </c>
      <c r="D19" s="2">
        <v>9800</v>
      </c>
      <c r="E19" s="2">
        <v>10800</v>
      </c>
      <c r="F19" s="2">
        <v>29</v>
      </c>
      <c r="G19" s="2">
        <v>30</v>
      </c>
      <c r="H19" s="2">
        <f t="shared" si="0"/>
        <v>42100</v>
      </c>
      <c r="I19" s="3">
        <f t="shared" si="1"/>
        <v>40696.666666666664</v>
      </c>
      <c r="J19" s="2">
        <f t="shared" si="2"/>
        <v>2580</v>
      </c>
      <c r="K19" s="2">
        <f t="shared" si="3"/>
        <v>4069.6666666666665</v>
      </c>
      <c r="L19" s="3">
        <f t="shared" si="4"/>
        <v>34047</v>
      </c>
      <c r="M19" s="2" t="str">
        <f t="shared" si="5"/>
        <v>OK</v>
      </c>
    </row>
    <row r="20" spans="1:13" x14ac:dyDescent="0.3">
      <c r="A20" s="2" t="s">
        <v>39</v>
      </c>
      <c r="B20" s="2" t="s">
        <v>40</v>
      </c>
      <c r="C20" s="2">
        <v>14500</v>
      </c>
      <c r="D20" s="2">
        <v>6500</v>
      </c>
      <c r="E20" s="2">
        <v>7500</v>
      </c>
      <c r="F20" s="2">
        <v>27</v>
      </c>
      <c r="G20" s="2">
        <v>30</v>
      </c>
      <c r="H20" s="2">
        <f t="shared" si="0"/>
        <v>28500</v>
      </c>
      <c r="I20" s="3">
        <f t="shared" si="1"/>
        <v>25650</v>
      </c>
      <c r="J20" s="2">
        <f t="shared" si="2"/>
        <v>1740</v>
      </c>
      <c r="K20" s="2">
        <f t="shared" si="3"/>
        <v>1282.5</v>
      </c>
      <c r="L20" s="3">
        <f t="shared" si="4"/>
        <v>22627.5</v>
      </c>
      <c r="M20" s="2" t="str">
        <f t="shared" si="5"/>
        <v>OK</v>
      </c>
    </row>
    <row r="21" spans="1:13" x14ac:dyDescent="0.3">
      <c r="A21" s="2" t="s">
        <v>41</v>
      </c>
      <c r="B21" s="2" t="s">
        <v>42</v>
      </c>
      <c r="C21" s="2">
        <v>19500</v>
      </c>
      <c r="D21" s="2">
        <v>8800</v>
      </c>
      <c r="E21" s="2">
        <v>9800</v>
      </c>
      <c r="F21" s="2">
        <v>30</v>
      </c>
      <c r="G21" s="2">
        <v>30</v>
      </c>
      <c r="H21" s="2">
        <f t="shared" si="0"/>
        <v>38100</v>
      </c>
      <c r="I21" s="3">
        <f t="shared" si="1"/>
        <v>38100</v>
      </c>
      <c r="J21" s="2">
        <f t="shared" si="2"/>
        <v>2340</v>
      </c>
      <c r="K21" s="2">
        <f t="shared" si="3"/>
        <v>3810</v>
      </c>
      <c r="L21" s="3">
        <f t="shared" si="4"/>
        <v>31950</v>
      </c>
      <c r="M21" s="2" t="str">
        <f t="shared" si="5"/>
        <v>OK</v>
      </c>
    </row>
    <row r="22" spans="1:13" x14ac:dyDescent="0.3">
      <c r="A22" s="2" t="s">
        <v>43</v>
      </c>
      <c r="B22" s="2" t="s">
        <v>44</v>
      </c>
      <c r="C22" s="2">
        <v>22500</v>
      </c>
      <c r="D22" s="2">
        <v>10200</v>
      </c>
      <c r="E22" s="2">
        <v>11200</v>
      </c>
      <c r="F22" s="2">
        <v>28</v>
      </c>
      <c r="G22" s="2">
        <v>30</v>
      </c>
      <c r="H22" s="2">
        <f t="shared" si="0"/>
        <v>43900</v>
      </c>
      <c r="I22" s="3">
        <f t="shared" si="1"/>
        <v>40973.333333333328</v>
      </c>
      <c r="J22" s="2">
        <f t="shared" si="2"/>
        <v>2700</v>
      </c>
      <c r="K22" s="2">
        <f t="shared" si="3"/>
        <v>4097.333333333333</v>
      </c>
      <c r="L22" s="3">
        <f t="shared" si="4"/>
        <v>34175.999999999993</v>
      </c>
      <c r="M22" s="2" t="str">
        <f t="shared" si="5"/>
        <v>OK</v>
      </c>
    </row>
    <row r="23" spans="1:13" x14ac:dyDescent="0.3">
      <c r="A23" s="2" t="s">
        <v>45</v>
      </c>
      <c r="B23" s="2" t="s">
        <v>46</v>
      </c>
      <c r="C23" s="2">
        <v>17000</v>
      </c>
      <c r="D23" s="2">
        <v>7800</v>
      </c>
      <c r="E23" s="2">
        <v>8800</v>
      </c>
      <c r="F23" s="2">
        <v>25</v>
      </c>
      <c r="G23" s="2">
        <v>30</v>
      </c>
      <c r="H23" s="2">
        <f t="shared" si="0"/>
        <v>33600</v>
      </c>
      <c r="I23" s="3">
        <f t="shared" si="1"/>
        <v>28000</v>
      </c>
      <c r="J23" s="2">
        <f t="shared" si="2"/>
        <v>2040</v>
      </c>
      <c r="K23" s="2">
        <f t="shared" si="3"/>
        <v>1400</v>
      </c>
      <c r="L23" s="3">
        <f t="shared" si="4"/>
        <v>24560</v>
      </c>
      <c r="M23" s="2" t="str">
        <f t="shared" si="5"/>
        <v>OK</v>
      </c>
    </row>
    <row r="24" spans="1:13" x14ac:dyDescent="0.3">
      <c r="A24" s="2" t="s">
        <v>47</v>
      </c>
      <c r="B24" s="2" t="s">
        <v>48</v>
      </c>
      <c r="C24" s="2">
        <v>18500</v>
      </c>
      <c r="D24" s="2">
        <v>8300</v>
      </c>
      <c r="E24" s="2">
        <v>9300</v>
      </c>
      <c r="F24" s="2">
        <v>26</v>
      </c>
      <c r="G24" s="2">
        <v>30</v>
      </c>
      <c r="H24" s="2">
        <f t="shared" si="0"/>
        <v>36100</v>
      </c>
      <c r="I24" s="3">
        <f t="shared" si="1"/>
        <v>31286.666666666664</v>
      </c>
      <c r="J24" s="2">
        <f t="shared" si="2"/>
        <v>2220</v>
      </c>
      <c r="K24" s="2">
        <f t="shared" si="3"/>
        <v>3128.6666666666665</v>
      </c>
      <c r="L24" s="3">
        <f t="shared" si="4"/>
        <v>25937.999999999996</v>
      </c>
      <c r="M24" s="2" t="str">
        <f t="shared" si="5"/>
        <v>OK</v>
      </c>
    </row>
    <row r="25" spans="1:13" x14ac:dyDescent="0.3">
      <c r="A25" s="2" t="s">
        <v>49</v>
      </c>
      <c r="B25" s="2" t="s">
        <v>50</v>
      </c>
      <c r="C25" s="2">
        <v>21000</v>
      </c>
      <c r="D25" s="2">
        <v>9600</v>
      </c>
      <c r="E25" s="2">
        <v>10600</v>
      </c>
      <c r="F25" s="2">
        <v>29</v>
      </c>
      <c r="G25" s="2">
        <v>30</v>
      </c>
      <c r="H25" s="2">
        <f t="shared" si="0"/>
        <v>41200</v>
      </c>
      <c r="I25" s="3">
        <f t="shared" si="1"/>
        <v>39826.666666666664</v>
      </c>
      <c r="J25" s="2">
        <f t="shared" si="2"/>
        <v>2520</v>
      </c>
      <c r="K25" s="2">
        <f t="shared" si="3"/>
        <v>3982.6666666666665</v>
      </c>
      <c r="L25" s="3">
        <f t="shared" si="4"/>
        <v>33324</v>
      </c>
      <c r="M25" s="2" t="str">
        <f t="shared" si="5"/>
        <v>OK</v>
      </c>
    </row>
    <row r="26" spans="1:13" x14ac:dyDescent="0.3">
      <c r="A26" s="2" t="s">
        <v>51</v>
      </c>
      <c r="B26" s="2" t="s">
        <v>52</v>
      </c>
      <c r="C26" s="2">
        <v>16000</v>
      </c>
      <c r="D26" s="2">
        <v>7100</v>
      </c>
      <c r="E26" s="2">
        <v>8100</v>
      </c>
      <c r="F26" s="2">
        <v>24</v>
      </c>
      <c r="G26" s="2">
        <v>30</v>
      </c>
      <c r="H26" s="2">
        <f t="shared" si="0"/>
        <v>31200</v>
      </c>
      <c r="I26" s="3">
        <f t="shared" si="1"/>
        <v>24960</v>
      </c>
      <c r="J26" s="2">
        <f t="shared" si="2"/>
        <v>1920</v>
      </c>
      <c r="K26" s="2">
        <f t="shared" si="3"/>
        <v>1248</v>
      </c>
      <c r="L26" s="3">
        <f t="shared" si="4"/>
        <v>21792</v>
      </c>
      <c r="M26" s="2" t="str">
        <f t="shared" si="5"/>
        <v>OK</v>
      </c>
    </row>
    <row r="27" spans="1:13" x14ac:dyDescent="0.3">
      <c r="A27" s="2" t="s">
        <v>53</v>
      </c>
      <c r="B27" s="2" t="s">
        <v>54</v>
      </c>
      <c r="C27" s="2">
        <v>23500</v>
      </c>
      <c r="D27" s="2">
        <v>10800</v>
      </c>
      <c r="E27" s="2">
        <v>11800</v>
      </c>
      <c r="F27" s="2">
        <v>30</v>
      </c>
      <c r="G27" s="2">
        <v>30</v>
      </c>
      <c r="H27" s="2">
        <f t="shared" si="0"/>
        <v>46100</v>
      </c>
      <c r="I27" s="3">
        <f t="shared" si="1"/>
        <v>46100</v>
      </c>
      <c r="J27" s="2">
        <f t="shared" si="2"/>
        <v>2820</v>
      </c>
      <c r="K27" s="2">
        <f t="shared" si="3"/>
        <v>4610</v>
      </c>
      <c r="L27" s="3">
        <f t="shared" si="4"/>
        <v>38670</v>
      </c>
      <c r="M27" s="2" t="str">
        <f t="shared" si="5"/>
        <v>OK</v>
      </c>
    </row>
    <row r="28" spans="1:13" x14ac:dyDescent="0.3">
      <c r="A28" s="2" t="s">
        <v>55</v>
      </c>
      <c r="B28" s="2" t="s">
        <v>56</v>
      </c>
      <c r="C28" s="2">
        <v>15000</v>
      </c>
      <c r="D28" s="2">
        <v>7000</v>
      </c>
      <c r="E28" s="2">
        <v>8000</v>
      </c>
      <c r="F28" s="2">
        <v>27</v>
      </c>
      <c r="G28" s="2">
        <v>30</v>
      </c>
      <c r="H28" s="2">
        <f t="shared" si="0"/>
        <v>30000</v>
      </c>
      <c r="I28" s="3">
        <f t="shared" si="1"/>
        <v>27000</v>
      </c>
      <c r="J28" s="2">
        <f t="shared" si="2"/>
        <v>1800</v>
      </c>
      <c r="K28" s="2">
        <f t="shared" si="3"/>
        <v>1350</v>
      </c>
      <c r="L28" s="3">
        <f t="shared" si="4"/>
        <v>23850</v>
      </c>
      <c r="M28" s="2" t="str">
        <f t="shared" si="5"/>
        <v>OK</v>
      </c>
    </row>
    <row r="29" spans="1:13" x14ac:dyDescent="0.3">
      <c r="A29" s="2" t="s">
        <v>57</v>
      </c>
      <c r="B29" s="2" t="s">
        <v>58</v>
      </c>
      <c r="C29" s="2">
        <v>20000</v>
      </c>
      <c r="D29" s="2">
        <v>9000</v>
      </c>
      <c r="E29" s="2">
        <v>10000</v>
      </c>
      <c r="F29" s="2">
        <v>28</v>
      </c>
      <c r="G29" s="2">
        <v>30</v>
      </c>
      <c r="H29" s="2">
        <f t="shared" si="0"/>
        <v>39000</v>
      </c>
      <c r="I29" s="3">
        <f t="shared" si="1"/>
        <v>36400</v>
      </c>
      <c r="J29" s="2">
        <f t="shared" si="2"/>
        <v>2400</v>
      </c>
      <c r="K29" s="2">
        <f t="shared" si="3"/>
        <v>3640</v>
      </c>
      <c r="L29" s="3">
        <f t="shared" si="4"/>
        <v>30360</v>
      </c>
      <c r="M29" s="2" t="str">
        <f t="shared" si="5"/>
        <v>OK</v>
      </c>
    </row>
    <row r="30" spans="1:13" x14ac:dyDescent="0.3">
      <c r="A30" s="2" t="s">
        <v>59</v>
      </c>
      <c r="B30" s="2" t="s">
        <v>60</v>
      </c>
      <c r="C30" s="2">
        <v>22000</v>
      </c>
      <c r="D30" s="2">
        <v>10000</v>
      </c>
      <c r="E30" s="2">
        <v>11000</v>
      </c>
      <c r="F30" s="2">
        <v>26</v>
      </c>
      <c r="G30" s="2">
        <v>30</v>
      </c>
      <c r="H30" s="2">
        <f t="shared" si="0"/>
        <v>43000</v>
      </c>
      <c r="I30" s="3">
        <f t="shared" si="1"/>
        <v>37266.666666666664</v>
      </c>
      <c r="J30" s="2">
        <f t="shared" si="2"/>
        <v>2640</v>
      </c>
      <c r="K30" s="2">
        <f t="shared" si="3"/>
        <v>3726.6666666666665</v>
      </c>
      <c r="L30" s="3">
        <f t="shared" si="4"/>
        <v>30899.999999999996</v>
      </c>
      <c r="M30" s="2" t="str">
        <f t="shared" si="5"/>
        <v>OK</v>
      </c>
    </row>
    <row r="31" spans="1:13" x14ac:dyDescent="0.3">
      <c r="A31" s="2" t="s">
        <v>61</v>
      </c>
      <c r="B31" s="2" t="s">
        <v>62</v>
      </c>
      <c r="C31" s="2">
        <v>17500</v>
      </c>
      <c r="D31" s="2">
        <v>8000</v>
      </c>
      <c r="E31" s="2">
        <v>9000</v>
      </c>
      <c r="F31" s="2">
        <v>29</v>
      </c>
      <c r="G31" s="2">
        <v>30</v>
      </c>
      <c r="H31" s="2">
        <f t="shared" si="0"/>
        <v>34500</v>
      </c>
      <c r="I31" s="3">
        <f t="shared" si="1"/>
        <v>33350</v>
      </c>
      <c r="J31" s="2">
        <f t="shared" si="2"/>
        <v>2100</v>
      </c>
      <c r="K31" s="2">
        <f t="shared" si="3"/>
        <v>3335</v>
      </c>
      <c r="L31" s="3">
        <f t="shared" si="4"/>
        <v>27915</v>
      </c>
      <c r="M31" s="2" t="str">
        <f t="shared" si="5"/>
        <v>OK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8035-4016-4EFE-91CC-2C1B783140B7}">
  <dimension ref="B3:I21"/>
  <sheetViews>
    <sheetView workbookViewId="0">
      <selection activeCell="D5" sqref="D5"/>
    </sheetView>
  </sheetViews>
  <sheetFormatPr defaultRowHeight="14.4" x14ac:dyDescent="0.3"/>
  <cols>
    <col min="1" max="1" width="23.33203125" bestFit="1" customWidth="1"/>
    <col min="2" max="2" width="8.88671875" style="4"/>
    <col min="8" max="8" width="23.33203125" bestFit="1" customWidth="1"/>
    <col min="9" max="9" width="8.88671875" style="7"/>
  </cols>
  <sheetData>
    <row r="3" spans="4:9" x14ac:dyDescent="0.3">
      <c r="H3" s="5" t="s">
        <v>73</v>
      </c>
      <c r="I3" s="8"/>
    </row>
    <row r="4" spans="4:9" ht="15" thickBot="1" x14ac:dyDescent="0.35">
      <c r="H4" s="5" t="s">
        <v>74</v>
      </c>
      <c r="I4" s="8"/>
    </row>
    <row r="5" spans="4:9" ht="15" thickBot="1" x14ac:dyDescent="0.35">
      <c r="D5" s="6"/>
      <c r="H5" s="2"/>
      <c r="I5" s="8"/>
    </row>
    <row r="6" spans="4:9" x14ac:dyDescent="0.3">
      <c r="H6" s="5" t="s">
        <v>75</v>
      </c>
      <c r="I6" s="8" t="e">
        <f>VLOOKUP(I4,Sheet1!A:M,2,FALSE)</f>
        <v>#N/A</v>
      </c>
    </row>
    <row r="7" spans="4:9" x14ac:dyDescent="0.3">
      <c r="H7" s="2"/>
      <c r="I7" s="8"/>
    </row>
    <row r="8" spans="4:9" x14ac:dyDescent="0.3">
      <c r="H8" s="2" t="s">
        <v>76</v>
      </c>
      <c r="I8" s="8"/>
    </row>
    <row r="9" spans="4:9" x14ac:dyDescent="0.3">
      <c r="H9" s="5" t="s">
        <v>77</v>
      </c>
      <c r="I9" s="8"/>
    </row>
    <row r="10" spans="4:9" x14ac:dyDescent="0.3">
      <c r="H10" s="5" t="s">
        <v>78</v>
      </c>
      <c r="I10" s="8" t="e">
        <f>VLOOKUP(I4,Sheet1!A:M,3,FALSE)</f>
        <v>#N/A</v>
      </c>
    </row>
    <row r="11" spans="4:9" x14ac:dyDescent="0.3">
      <c r="H11" s="5" t="s">
        <v>79</v>
      </c>
      <c r="I11" s="8" t="e">
        <f>VLOOKUP(I4,Sheet1!A:M,4,FALSE)</f>
        <v>#N/A</v>
      </c>
    </row>
    <row r="12" spans="4:9" x14ac:dyDescent="0.3">
      <c r="H12" s="5" t="s">
        <v>80</v>
      </c>
      <c r="I12" s="8" t="e">
        <f>VLOOKUP(I4,Sheet1!A:M,5,FALSE)</f>
        <v>#N/A</v>
      </c>
    </row>
    <row r="13" spans="4:9" x14ac:dyDescent="0.3">
      <c r="H13" s="5" t="s">
        <v>81</v>
      </c>
      <c r="I13" s="8" t="e">
        <f>VLOOKUP(I4,Sheet1!A:M,8,FALSE)</f>
        <v>#N/A</v>
      </c>
    </row>
    <row r="14" spans="4:9" x14ac:dyDescent="0.3">
      <c r="H14" s="2"/>
      <c r="I14" s="8"/>
    </row>
    <row r="15" spans="4:9" x14ac:dyDescent="0.3">
      <c r="H15" s="2" t="s">
        <v>76</v>
      </c>
      <c r="I15" s="8"/>
    </row>
    <row r="16" spans="4:9" x14ac:dyDescent="0.3">
      <c r="H16" s="5" t="s">
        <v>82</v>
      </c>
      <c r="I16" s="8"/>
    </row>
    <row r="17" spans="8:9" x14ac:dyDescent="0.3">
      <c r="H17" s="5" t="s">
        <v>83</v>
      </c>
      <c r="I17" s="8" t="e">
        <f>VLOOKUP(I4,Sheet1!A:M,10,FALSE)</f>
        <v>#N/A</v>
      </c>
    </row>
    <row r="18" spans="8:9" x14ac:dyDescent="0.3">
      <c r="H18" s="5" t="s">
        <v>84</v>
      </c>
      <c r="I18" s="8" t="e">
        <f>VLOOKUP(I4,Sheet1!A:M,11,FALSE)</f>
        <v>#N/A</v>
      </c>
    </row>
    <row r="19" spans="8:9" x14ac:dyDescent="0.3">
      <c r="H19" s="2"/>
      <c r="I19" s="8"/>
    </row>
    <row r="20" spans="8:9" x14ac:dyDescent="0.3">
      <c r="H20" s="2" t="s">
        <v>76</v>
      </c>
      <c r="I20" s="8"/>
    </row>
    <row r="21" spans="8:9" x14ac:dyDescent="0.3">
      <c r="H21" s="5" t="s">
        <v>85</v>
      </c>
      <c r="I21" s="8" t="e">
        <f>VLOOKUP(I4,Sheet1!A:M,12,FALSE)</f>
        <v>#N/A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97634B-1F13-42C1-8B47-27001B22FC06}">
          <x14:formula1>
            <xm:f>Sheet1!$A$2:$A$31</xm:f>
          </x14:formula1>
          <xm:sqref>I4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Pay 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 M</dc:creator>
  <cp:lastModifiedBy>ARUN K M</cp:lastModifiedBy>
  <cp:lastPrinted>2026-04-24T04:17:29Z</cp:lastPrinted>
  <dcterms:created xsi:type="dcterms:W3CDTF">2026-04-23T15:05:13Z</dcterms:created>
  <dcterms:modified xsi:type="dcterms:W3CDTF">2026-04-24T04:18:53Z</dcterms:modified>
</cp:coreProperties>
</file>